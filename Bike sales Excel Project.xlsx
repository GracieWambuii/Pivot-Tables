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059391E3-38D5-48CD-806F-4CECF433EFF9}"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<sst xmlns="http://schemas.openxmlformats.org/spreadsheetml/2006/main" count="16267" uniqueCount="50">
  <si>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</si>
  <si>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</si>
  <si>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</si>
  <si>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</si>
  <si>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</si>
  <si>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</si>
  <si>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</si>
  <si>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</si>
  <si>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</si>
  <si>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</si>
  <si>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</si>
  <si>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</si>
  <si>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</si>
  <si>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</si>
  <si>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</si>
  <si>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</si>
  <si>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</si>
  <si>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</si>
  <si>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</si>
  <si>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</si>
  <si>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</si>
  <si>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</si>
  <si>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</si>
  <si>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</si>
  <si>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</si>
  <si>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</si>
  <si>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</si>
  <si>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</si>
  <si>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</si>
  <si>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</si>
  <si>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</si>
  <si>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</si>
  <si>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</si>
  <si>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</si>
  <si>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</si>
  <si>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</si>
  <si>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</si>
  <si>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</si>
  <si>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</si>
  <si>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</si>
  <si>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</si>
  <si>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</si>
  <si>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</si>
  <si>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</si>
  <si>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</si>
  <si>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</si>
  <si>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Adolescent</t>
  </si>
  <si>
    <t>Middle Age</t>
  </si>
  <si>
    <t>Old</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</si>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</sst>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layout>
        <c:manualLayout>
          <c:xMode val="edge"/>
          <c:yMode val="edge"/>
          <c:x val="0.3567777777777778"/>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70603674540684"/>
          <c:y val="0.16101633129192183"/>
          <c:w val="0.62929396325459319"/>
          <c:h val="0.65853091280256637"/>
        </c:manualLayout>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"$"#,##0</c:formatCode>
                <c:ptCount val="2"/>
                <c:pt idx="0">
                  <c:v>53440</c:v>
                </c:pt>
                <c:pt idx="1">
                  <c:v>56208.178438661707</c:v>
                </c:pt>
              </c:numCache>
            </c:numRef>
          </c:val>
          <c:extLst>
            <c:ext xmlns:c16="http://schemas.microsoft.com/office/drawing/2014/chart" uri="{C3380CC4-5D6E-409C-BE32-E72D297353CC}">
              <c16:uniqueId val="{00000000-4EB7-42B3-8D6A-1B396D43F587}"/>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"$"#,##0</c:formatCode>
                <c:ptCount val="2"/>
                <c:pt idx="0">
                  <c:v>55774.058577405856</c:v>
                </c:pt>
                <c:pt idx="1">
                  <c:v>60123.966942148763</c:v>
                </c:pt>
              </c:numCache>
            </c:numRef>
          </c:val>
          <c:extLst>
            <c:ext xmlns:c16="http://schemas.microsoft.com/office/drawing/2014/chart" uri="{C3380CC4-5D6E-409C-BE32-E72D297353CC}">
              <c16:uniqueId val="{00000001-4EB7-42B3-8D6A-1B396D43F587}"/>
            </c:ext>
          </c:extLst>
        </c:ser>
        <c:dLbls>
          <c:showLegendKey val="0"/>
          <c:showVal val="0"/>
          <c:showCatName val="0"/>
          <c:showSerName val="0"/>
          <c:showPercent val="0"/>
          <c:showBubbleSize val="0"/>
        </c:dLbls>
        <c:gapWidth val="219"/>
        <c:overlap val="-27"/>
        <c:axId val="1603446095"/>
        <c:axId val="1603450895"/>
      </c:barChart>
      <c:catAx>
        <c:axId val="1603446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50895"/>
        <c:crosses val="autoZero"/>
        <c:auto val="1"/>
        <c:lblAlgn val="ctr"/>
        <c:lblOffset val="100"/>
        <c:noMultiLvlLbl val="0"/>
      </c:catAx>
      <c:valAx>
        <c:axId val="1603450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4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table'!$C$19:$C$20</c:f>
              <c:strCache>
                <c:ptCount val="1"/>
                <c:pt idx="0">
                  <c:v>No</c:v>
                </c:pt>
              </c:strCache>
            </c:strRef>
          </c:tx>
          <c:spPr>
            <a:solidFill>
              <a:schemeClr val="accent1"/>
            </a:solidFill>
            <a:ln>
              <a:noFill/>
            </a:ln>
            <a:effectLst/>
          </c:spPr>
          <c:invertIfNegative val="0"/>
          <c:cat>
            <c:strRef>
              <c:f>'Pivot table'!$B$21:$B$26</c:f>
              <c:strCache>
                <c:ptCount val="5"/>
                <c:pt idx="0">
                  <c:v>0-1 Miles</c:v>
                </c:pt>
                <c:pt idx="1">
                  <c:v>10+ Miles</c:v>
                </c:pt>
                <c:pt idx="2">
                  <c:v>1-2 Miles</c:v>
                </c:pt>
                <c:pt idx="3">
                  <c:v>2-5 Miles</c:v>
                </c:pt>
                <c:pt idx="4">
                  <c:v>5-10 Miles</c:v>
                </c:pt>
              </c:strCache>
            </c:strRef>
          </c:cat>
          <c:val>
            <c:numRef>
              <c:f>'Pivot table'!$C$21:$C$26</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6782-400C-A0DF-249215F0D393}"/>
            </c:ext>
          </c:extLst>
        </c:ser>
        <c:ser>
          <c:idx val="1"/>
          <c:order val="1"/>
          <c:tx>
            <c:strRef>
              <c:f>'Pivot table'!$D$19:$D$20</c:f>
              <c:strCache>
                <c:ptCount val="1"/>
                <c:pt idx="0">
                  <c:v>Yes</c:v>
                </c:pt>
              </c:strCache>
            </c:strRef>
          </c:tx>
          <c:spPr>
            <a:solidFill>
              <a:schemeClr val="accent2"/>
            </a:solidFill>
            <a:ln>
              <a:noFill/>
            </a:ln>
            <a:effectLst/>
          </c:spPr>
          <c:invertIfNegative val="0"/>
          <c:cat>
            <c:strRef>
              <c:f>'Pivot table'!$B$21:$B$26</c:f>
              <c:strCache>
                <c:ptCount val="5"/>
                <c:pt idx="0">
                  <c:v>0-1 Miles</c:v>
                </c:pt>
                <c:pt idx="1">
                  <c:v>10+ Miles</c:v>
                </c:pt>
                <c:pt idx="2">
                  <c:v>1-2 Miles</c:v>
                </c:pt>
                <c:pt idx="3">
                  <c:v>2-5 Miles</c:v>
                </c:pt>
                <c:pt idx="4">
                  <c:v>5-10 Miles</c:v>
                </c:pt>
              </c:strCache>
            </c:strRef>
          </c:cat>
          <c:val>
            <c:numRef>
              <c:f>'Pivot table'!$D$21:$D$26</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6782-400C-A0DF-249215F0D393}"/>
            </c:ext>
          </c:extLst>
        </c:ser>
        <c:dLbls>
          <c:showLegendKey val="0"/>
          <c:showVal val="0"/>
          <c:showCatName val="0"/>
          <c:showSerName val="0"/>
          <c:showPercent val="0"/>
          <c:showBubbleSize val="0"/>
        </c:dLbls>
        <c:gapWidth val="219"/>
        <c:overlap val="-27"/>
        <c:axId val="1603491695"/>
        <c:axId val="1603498415"/>
      </c:barChart>
      <c:catAx>
        <c:axId val="1603491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98415"/>
        <c:crosses val="autoZero"/>
        <c:auto val="1"/>
        <c:lblAlgn val="ctr"/>
        <c:lblOffset val="100"/>
        <c:noMultiLvlLbl val="0"/>
      </c:catAx>
      <c:valAx>
        <c:axId val="160349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9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table'!$C$43:$C$44</c:f>
              <c:strCache>
                <c:ptCount val="1"/>
                <c:pt idx="0">
                  <c:v>No</c:v>
                </c:pt>
              </c:strCache>
            </c:strRef>
          </c:tx>
          <c:spPr>
            <a:solidFill>
              <a:schemeClr val="accent1"/>
            </a:solidFill>
            <a:ln>
              <a:noFill/>
            </a:ln>
            <a:effectLst/>
          </c:spPr>
          <c:invertIfNegative val="0"/>
          <c:cat>
            <c:strRef>
              <c:f>'Pivot table'!$B$45:$B$48</c:f>
              <c:strCache>
                <c:ptCount val="3"/>
                <c:pt idx="0">
                  <c:v>Adolescent</c:v>
                </c:pt>
                <c:pt idx="1">
                  <c:v>Middle Age</c:v>
                </c:pt>
                <c:pt idx="2">
                  <c:v>Old</c:v>
                </c:pt>
              </c:strCache>
            </c:strRef>
          </c:cat>
          <c:val>
            <c:numRef>
              <c:f>'Pivot table'!$C$45:$C$48</c:f>
              <c:numCache>
                <c:formatCode>General</c:formatCode>
                <c:ptCount val="3"/>
                <c:pt idx="0">
                  <c:v>71</c:v>
                </c:pt>
                <c:pt idx="1">
                  <c:v>318</c:v>
                </c:pt>
                <c:pt idx="2">
                  <c:v>130</c:v>
                </c:pt>
              </c:numCache>
            </c:numRef>
          </c:val>
          <c:extLst>
            <c:ext xmlns:c16="http://schemas.microsoft.com/office/drawing/2014/chart" uri="{C3380CC4-5D6E-409C-BE32-E72D297353CC}">
              <c16:uniqueId val="{00000000-6908-4733-B1CC-8AD3A8193E0C}"/>
            </c:ext>
          </c:extLst>
        </c:ser>
        <c:ser>
          <c:idx val="1"/>
          <c:order val="1"/>
          <c:tx>
            <c:strRef>
              <c:f>'Pivot table'!$D$43:$D$44</c:f>
              <c:strCache>
                <c:ptCount val="1"/>
                <c:pt idx="0">
                  <c:v>Yes</c:v>
                </c:pt>
              </c:strCache>
            </c:strRef>
          </c:tx>
          <c:spPr>
            <a:solidFill>
              <a:schemeClr val="accent2"/>
            </a:solidFill>
            <a:ln>
              <a:noFill/>
            </a:ln>
            <a:effectLst/>
          </c:spPr>
          <c:invertIfNegative val="0"/>
          <c:cat>
            <c:strRef>
              <c:f>'Pivot table'!$B$45:$B$48</c:f>
              <c:strCache>
                <c:ptCount val="3"/>
                <c:pt idx="0">
                  <c:v>Adolescent</c:v>
                </c:pt>
                <c:pt idx="1">
                  <c:v>Middle Age</c:v>
                </c:pt>
                <c:pt idx="2">
                  <c:v>Old</c:v>
                </c:pt>
              </c:strCache>
            </c:strRef>
          </c:cat>
          <c:val>
            <c:numRef>
              <c:f>'Pivot table'!$D$45:$D$48</c:f>
              <c:numCache>
                <c:formatCode>General</c:formatCode>
                <c:ptCount val="3"/>
                <c:pt idx="0">
                  <c:v>39</c:v>
                </c:pt>
                <c:pt idx="1">
                  <c:v>383</c:v>
                </c:pt>
                <c:pt idx="2">
                  <c:v>59</c:v>
                </c:pt>
              </c:numCache>
            </c:numRef>
          </c:val>
          <c:extLst>
            <c:ext xmlns:c16="http://schemas.microsoft.com/office/drawing/2014/chart" uri="{C3380CC4-5D6E-409C-BE32-E72D297353CC}">
              <c16:uniqueId val="{00000001-6908-4733-B1CC-8AD3A8193E0C}"/>
            </c:ext>
          </c:extLst>
        </c:ser>
        <c:dLbls>
          <c:showLegendKey val="0"/>
          <c:showVal val="0"/>
          <c:showCatName val="0"/>
          <c:showSerName val="0"/>
          <c:showPercent val="0"/>
          <c:showBubbleSize val="0"/>
        </c:dLbls>
        <c:gapWidth val="219"/>
        <c:overlap val="-27"/>
        <c:axId val="1603468655"/>
        <c:axId val="1603441295"/>
      </c:barChart>
      <c:catAx>
        <c:axId val="1603468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41295"/>
        <c:crosses val="autoZero"/>
        <c:auto val="1"/>
        <c:lblAlgn val="ctr"/>
        <c:lblOffset val="100"/>
        <c:noMultiLvlLbl val="0"/>
      </c:catAx>
      <c:valAx>
        <c:axId val="160344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6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c:rich>
      </c:tx>
      <c:layout>
        <c:manualLayout>
          <c:xMode val="edge"/>
          <c:yMode val="edge"/>
          <c:x val="0.3567777777777778"/>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0440917588941"/>
          <c:y val="0.23555044749841056"/>
          <c:w val="0.50104450115312704"/>
          <c:h val="0.54051841345918716"/>
        </c:manualLayout>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"$"#,##0</c:formatCode>
                <c:ptCount val="2"/>
                <c:pt idx="0">
                  <c:v>53440</c:v>
                </c:pt>
                <c:pt idx="1">
                  <c:v>56208.178438661707</c:v>
                </c:pt>
              </c:numCache>
            </c:numRef>
          </c:val>
          <c:extLst>
            <c:ext xmlns:c16="http://schemas.microsoft.com/office/drawing/2014/chart" uri="{C3380CC4-5D6E-409C-BE32-E72D297353CC}">
              <c16:uniqueId val="{00000000-51E8-4EFE-8261-9E2CAB5219D1}"/>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"$"#,##0</c:formatCode>
                <c:ptCount val="2"/>
                <c:pt idx="0">
                  <c:v>55774.058577405856</c:v>
                </c:pt>
                <c:pt idx="1">
                  <c:v>60123.966942148763</c:v>
                </c:pt>
              </c:numCache>
            </c:numRef>
          </c:val>
          <c:extLst>
            <c:ext xmlns:c16="http://schemas.microsoft.com/office/drawing/2014/chart" uri="{C3380CC4-5D6E-409C-BE32-E72D297353CC}">
              <c16:uniqueId val="{00000001-51E8-4EFE-8261-9E2CAB5219D1}"/>
            </c:ext>
          </c:extLst>
        </c:ser>
        <c:dLbls>
          <c:showLegendKey val="0"/>
          <c:showVal val="0"/>
          <c:showCatName val="0"/>
          <c:showSerName val="0"/>
          <c:showPercent val="0"/>
          <c:showBubbleSize val="0"/>
        </c:dLbls>
        <c:gapWidth val="219"/>
        <c:overlap val="-27"/>
        <c:axId val="1603446095"/>
        <c:axId val="1603450895"/>
      </c:barChart>
      <c:catAx>
        <c:axId val="1603446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50895"/>
        <c:crosses val="autoZero"/>
        <c:auto val="1"/>
        <c:lblAlgn val="ctr"/>
        <c:lblOffset val="100"/>
        <c:noMultiLvlLbl val="0"/>
      </c:catAx>
      <c:valAx>
        <c:axId val="1603450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4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table'!$C$19:$C$20</c:f>
              <c:strCache>
                <c:ptCount val="1"/>
                <c:pt idx="0">
                  <c:v>No</c:v>
                </c:pt>
              </c:strCache>
            </c:strRef>
          </c:tx>
          <c:spPr>
            <a:solidFill>
              <a:schemeClr val="accent1"/>
            </a:solidFill>
            <a:ln>
              <a:noFill/>
            </a:ln>
            <a:effectLst/>
          </c:spPr>
          <c:invertIfNegative val="0"/>
          <c:cat>
            <c:strRef>
              <c:f>'Pivot table'!$B$21:$B$26</c:f>
              <c:strCache>
                <c:ptCount val="5"/>
                <c:pt idx="0">
                  <c:v>0-1 Miles</c:v>
                </c:pt>
                <c:pt idx="1">
                  <c:v>10+ Miles</c:v>
                </c:pt>
                <c:pt idx="2">
                  <c:v>1-2 Miles</c:v>
                </c:pt>
                <c:pt idx="3">
                  <c:v>2-5 Miles</c:v>
                </c:pt>
                <c:pt idx="4">
                  <c:v>5-10 Miles</c:v>
                </c:pt>
              </c:strCache>
            </c:strRef>
          </c:cat>
          <c:val>
            <c:numRef>
              <c:f>'Pivot table'!$C$21:$C$26</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CF79-4FBA-8D72-DA00DDFCA8C8}"/>
            </c:ext>
          </c:extLst>
        </c:ser>
        <c:ser>
          <c:idx val="1"/>
          <c:order val="1"/>
          <c:tx>
            <c:strRef>
              <c:f>'Pivot table'!$D$19:$D$20</c:f>
              <c:strCache>
                <c:ptCount val="1"/>
                <c:pt idx="0">
                  <c:v>Yes</c:v>
                </c:pt>
              </c:strCache>
            </c:strRef>
          </c:tx>
          <c:spPr>
            <a:solidFill>
              <a:schemeClr val="accent2"/>
            </a:solidFill>
            <a:ln>
              <a:noFill/>
            </a:ln>
            <a:effectLst/>
          </c:spPr>
          <c:invertIfNegative val="0"/>
          <c:cat>
            <c:strRef>
              <c:f>'Pivot table'!$B$21:$B$26</c:f>
              <c:strCache>
                <c:ptCount val="5"/>
                <c:pt idx="0">
                  <c:v>0-1 Miles</c:v>
                </c:pt>
                <c:pt idx="1">
                  <c:v>10+ Miles</c:v>
                </c:pt>
                <c:pt idx="2">
                  <c:v>1-2 Miles</c:v>
                </c:pt>
                <c:pt idx="3">
                  <c:v>2-5 Miles</c:v>
                </c:pt>
                <c:pt idx="4">
                  <c:v>5-10 Miles</c:v>
                </c:pt>
              </c:strCache>
            </c:strRef>
          </c:cat>
          <c:val>
            <c:numRef>
              <c:f>'Pivot table'!$D$21:$D$26</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CF79-4FBA-8D72-DA00DDFCA8C8}"/>
            </c:ext>
          </c:extLst>
        </c:ser>
        <c:dLbls>
          <c:showLegendKey val="0"/>
          <c:showVal val="0"/>
          <c:showCatName val="0"/>
          <c:showSerName val="0"/>
          <c:showPercent val="0"/>
          <c:showBubbleSize val="0"/>
        </c:dLbls>
        <c:gapWidth val="219"/>
        <c:overlap val="-27"/>
        <c:axId val="1603491695"/>
        <c:axId val="1603498415"/>
      </c:barChart>
      <c:catAx>
        <c:axId val="1603491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98415"/>
        <c:crosses val="autoZero"/>
        <c:auto val="1"/>
        <c:lblAlgn val="ctr"/>
        <c:lblOffset val="100"/>
        <c:noMultiLvlLbl val="0"/>
      </c:catAx>
      <c:valAx>
        <c:axId val="160349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9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table'!$C$43:$C$44</c:f>
              <c:strCache>
                <c:ptCount val="1"/>
                <c:pt idx="0">
                  <c:v>No</c:v>
                </c:pt>
              </c:strCache>
            </c:strRef>
          </c:tx>
          <c:spPr>
            <a:solidFill>
              <a:schemeClr val="accent1"/>
            </a:solidFill>
            <a:ln>
              <a:noFill/>
            </a:ln>
            <a:effectLst/>
          </c:spPr>
          <c:invertIfNegative val="0"/>
          <c:cat>
            <c:strRef>
              <c:f>'Pivot table'!$B$45:$B$48</c:f>
              <c:strCache>
                <c:ptCount val="3"/>
                <c:pt idx="0">
                  <c:v>Adolescent</c:v>
                </c:pt>
                <c:pt idx="1">
                  <c:v>Middle Age</c:v>
                </c:pt>
                <c:pt idx="2">
                  <c:v>Old</c:v>
                </c:pt>
              </c:strCache>
            </c:strRef>
          </c:cat>
          <c:val>
            <c:numRef>
              <c:f>'Pivot table'!$C$45:$C$48</c:f>
              <c:numCache>
                <c:formatCode>General</c:formatCode>
                <c:ptCount val="3"/>
                <c:pt idx="0">
                  <c:v>71</c:v>
                </c:pt>
                <c:pt idx="1">
                  <c:v>318</c:v>
                </c:pt>
                <c:pt idx="2">
                  <c:v>130</c:v>
                </c:pt>
              </c:numCache>
            </c:numRef>
          </c:val>
          <c:extLst>
            <c:ext xmlns:c16="http://schemas.microsoft.com/office/drawing/2014/chart" uri="{C3380CC4-5D6E-409C-BE32-E72D297353CC}">
              <c16:uniqueId val="{00000000-AB86-43EF-BE5C-78DED00F9529}"/>
            </c:ext>
          </c:extLst>
        </c:ser>
        <c:ser>
          <c:idx val="1"/>
          <c:order val="1"/>
          <c:tx>
            <c:strRef>
              <c:f>'Pivot table'!$D$43:$D$44</c:f>
              <c:strCache>
                <c:ptCount val="1"/>
                <c:pt idx="0">
                  <c:v>Yes</c:v>
                </c:pt>
              </c:strCache>
            </c:strRef>
          </c:tx>
          <c:spPr>
            <a:solidFill>
              <a:schemeClr val="accent2"/>
            </a:solidFill>
            <a:ln>
              <a:noFill/>
            </a:ln>
            <a:effectLst/>
          </c:spPr>
          <c:invertIfNegative val="0"/>
          <c:cat>
            <c:strRef>
              <c:f>'Pivot table'!$B$45:$B$48</c:f>
              <c:strCache>
                <c:ptCount val="3"/>
                <c:pt idx="0">
                  <c:v>Adolescent</c:v>
                </c:pt>
                <c:pt idx="1">
                  <c:v>Middle Age</c:v>
                </c:pt>
                <c:pt idx="2">
                  <c:v>Old</c:v>
                </c:pt>
              </c:strCache>
            </c:strRef>
          </c:cat>
          <c:val>
            <c:numRef>
              <c:f>'Pivot table'!$D$45:$D$48</c:f>
              <c:numCache>
                <c:formatCode>General</c:formatCode>
                <c:ptCount val="3"/>
                <c:pt idx="0">
                  <c:v>39</c:v>
                </c:pt>
                <c:pt idx="1">
                  <c:v>383</c:v>
                </c:pt>
                <c:pt idx="2">
                  <c:v>59</c:v>
                </c:pt>
              </c:numCache>
            </c:numRef>
          </c:val>
          <c:extLst>
            <c:ext xmlns:c16="http://schemas.microsoft.com/office/drawing/2014/chart" uri="{C3380CC4-5D6E-409C-BE32-E72D297353CC}">
              <c16:uniqueId val="{00000001-AB86-43EF-BE5C-78DED00F9529}"/>
            </c:ext>
          </c:extLst>
        </c:ser>
        <c:dLbls>
          <c:showLegendKey val="0"/>
          <c:showVal val="0"/>
          <c:showCatName val="0"/>
          <c:showSerName val="0"/>
          <c:showPercent val="0"/>
          <c:showBubbleSize val="0"/>
        </c:dLbls>
        <c:gapWidth val="219"/>
        <c:overlap val="-27"/>
        <c:axId val="1603468655"/>
        <c:axId val="1603441295"/>
      </c:barChart>
      <c:catAx>
        <c:axId val="1603468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41295"/>
        <c:crosses val="autoZero"/>
        <c:auto val="1"/>
        <c:lblAlgn val="ctr"/>
        <c:lblOffset val="100"/>
        <c:noMultiLvlLbl val="0"/>
      </c:catAx>
      <c:valAx>
        <c:axId val="1603441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6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234950</xdr:colOff>
      <xdr:row>1</xdr:row>
      <xdr:rowOff>76200</xdr:rowOff>
    </xdr:from>
    <xdr:to>
      <xdr:col>12</xdr:col>
      <xdr:colOff>266700</xdr:colOff>
      <xdr:row>14</xdr:row>
      <xdr:rowOff>88900</xdr:rowOff>
    </xdr:to>
    <xdr:graphicFrame macro="">
      <xdr:nvGraphicFramePr>
        <xdr:cNvPr id="2" name="Chart 1">
          <a:extLst>
            <a:ext uri="{FF2B5EF4-FFF2-40B4-BE49-F238E27FC236}">
              <a16:creationId xmlns:a16="http://schemas.microsoft.com/office/drawing/2014/main" id="{EAD4A0CD-CDBE-62B9-7B1C-59DE6611D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552450</xdr:colOff>
      <xdr:row>21</xdr:row>
      <xdr:rowOff>146050</xdr:rowOff>
    </xdr:from>
    <xdr:to>
      <xdr:col>13</xdr:col>
      <xdr:colOff>374650</xdr:colOff>
      <xdr:row>37</xdr:row>
      <xdr:rowOff>76200</xdr:rowOff>
    </xdr:to>
    <xdr:graphicFrame macro="">
      <xdr:nvGraphicFramePr>
        <xdr:cNvPr id="3" name="Chart 2">
          <a:extLst>
            <a:ext uri="{FF2B5EF4-FFF2-40B4-BE49-F238E27FC236}">
              <a16:creationId xmlns:a16="http://schemas.microsoft.com/office/drawing/2014/main" id="{36F76639-60BF-12A2-45AF-6D26E5008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533400</xdr:colOff>
      <xdr:row>39</xdr:row>
      <xdr:rowOff>82550</xdr:rowOff>
    </xdr:from>
    <xdr:to>
      <xdr:col>13</xdr:col>
      <xdr:colOff>228600</xdr:colOff>
      <xdr:row>54</xdr:row>
      <xdr:rowOff>63500</xdr:rowOff>
    </xdr:to>
    <xdr:graphicFrame macro="">
      <xdr:nvGraphicFramePr>
        <xdr:cNvPr id="4" name="Chart 3">
          <a:extLst>
            <a:ext uri="{FF2B5EF4-FFF2-40B4-BE49-F238E27FC236}">
              <a16:creationId xmlns:a16="http://schemas.microsoft.com/office/drawing/2014/main" id="{D4465F45-C059-EC40-A670-609B210BF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508000</xdr:colOff>
      <xdr:row>4</xdr:row>
      <xdr:rowOff>31750</xdr:rowOff>
    </xdr:from>
    <xdr:to>
      <xdr:col>8</xdr:col>
      <xdr:colOff>514350</xdr:colOff>
      <xdr:row>15</xdr:row>
      <xdr:rowOff>50800</xdr:rowOff>
    </xdr:to>
    <xdr:graphicFrame macro="">
      <xdr:nvGraphicFramePr>
        <xdr:cNvPr id="2" name="Chart 1">
          <a:extLst>
            <a:ext uri="{FF2B5EF4-FFF2-40B4-BE49-F238E27FC236}">
              <a16:creationId xmlns:a16="http://schemas.microsoft.com/office/drawing/2014/main" id="{17C14E89-93AA-4854-8D60-FA1D09749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476250</xdr:colOff>
      <xdr:row>15</xdr:row>
      <xdr:rowOff>69850</xdr:rowOff>
    </xdr:from>
    <xdr:to>
      <xdr:col>14</xdr:col>
      <xdr:colOff>196850</xdr:colOff>
      <xdr:row>28</xdr:row>
      <xdr:rowOff>101600</xdr:rowOff>
    </xdr:to>
    <xdr:graphicFrame macro="">
      <xdr:nvGraphicFramePr>
        <xdr:cNvPr id="3" name="Chart 2">
          <a:extLst>
            <a:ext uri="{FF2B5EF4-FFF2-40B4-BE49-F238E27FC236}">
              <a16:creationId xmlns:a16="http://schemas.microsoft.com/office/drawing/2014/main" id="{CEB1F399-A0D3-4FF8-B2B7-96F4FC8BE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514350</xdr:colOff>
      <xdr:row>4</xdr:row>
      <xdr:rowOff>12700</xdr:rowOff>
    </xdr:from>
    <xdr:to>
      <xdr:col>14</xdr:col>
      <xdr:colOff>228600</xdr:colOff>
      <xdr:row>15</xdr:row>
      <xdr:rowOff>44450</xdr:rowOff>
    </xdr:to>
    <xdr:graphicFrame macro="">
      <xdr:nvGraphicFramePr>
        <xdr:cNvPr id="4" name="Chart 3">
          <a:extLst>
            <a:ext uri="{FF2B5EF4-FFF2-40B4-BE49-F238E27FC236}">
              <a16:creationId xmlns:a16="http://schemas.microsoft.com/office/drawing/2014/main" id="{3922FA91-89B8-4726-A5D7-F73DBB406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6351</xdr:rowOff>
    </xdr:from>
    <xdr:to>
      <xdr:col>2</xdr:col>
      <xdr:colOff>495300</xdr:colOff>
      <xdr:row>9</xdr:row>
      <xdr:rowOff>114300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3305B5D-C216-3DE7-B158-A03D8FF6879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742951"/>
              <a:ext cx="1714500" cy="1028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101600</xdr:rowOff>
    </xdr:from>
    <xdr:to>
      <xdr:col>2</xdr:col>
      <xdr:colOff>495300</xdr:colOff>
      <xdr:row>28</xdr:row>
      <xdr:rowOff>82549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FF0DD7C-A773-1C58-1EAA-452888F90A0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32150"/>
              <a:ext cx="1714500" cy="2006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127000</xdr:rowOff>
    </xdr:from>
    <xdr:to>
      <xdr:col>2</xdr:col>
      <xdr:colOff>488950</xdr:colOff>
      <xdr:row>17</xdr:row>
      <xdr:rowOff>101599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B5F1796-16FF-AB3C-F43B-E3525CE641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84350"/>
              <a:ext cx="170815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5.784517245367" createdVersion="8" refreshedVersion="8" minRefreshableVersion="3" recordCount="1000" xr:uid="{768BF2F2-D001-47EE-B954-EE1BAB3E3A2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72138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52C489-C0D5-4592-9956-9F3BDAC7E7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3:E4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3C409E-5747-41C2-A81F-BA718AB6AC9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9:E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A9627D-D165-4291-81EC-0A65F28678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5AEF12-E993-4661-BDF4-7361E759F649}" sourceName="Marital Status">
  <pivotTables>
    <pivotTable tabId="4" name="PivotTable1"/>
    <pivotTable tabId="4" name="PivotTable2"/>
    <pivotTable tabId="4" name="PivotTable3"/>
  </pivotTables>
  <data>
    <tabular pivotCacheId="8721387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C71415-78CD-4ADA-A0CA-9A3A9124D04B}" sourceName="Education">
  <pivotTables>
    <pivotTable tabId="4" name="PivotTable1"/>
    <pivotTable tabId="4" name="PivotTable2"/>
    <pivotTable tabId="4" name="PivotTable3"/>
  </pivotTables>
  <data>
    <tabular pivotCacheId="87213873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27667A-77B1-4623-AB41-CD86CB7BDFA9}" sourceName="Region">
  <pivotTables>
    <pivotTable tabId="4" name="PivotTable1"/>
    <pivotTable tabId="4" name="PivotTable2"/>
    <pivotTable tabId="4" name="PivotTable3"/>
  </pivotTables>
  <data>
    <tabular pivotCacheId="8721387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A5147CA-B2E2-42C7-9632-56B54ADB4AB1}" cache="Slicer_Marital_Status" caption="Marital Status" rowHeight="241300"/>
  <slicer name="Education" xr10:uid="{8CC48ED8-9D9B-4EA3-AA10-9049C329820C}" cache="Slicer_Education" caption="Education" rowHeight="241300"/>
  <slicer name="Region" xr10:uid="{DA423E12-CF4D-41E1-844E-6CC5216452E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11154-A80B-4590-A65C-14E33C77B9CF}">
  <dimension ref="A1:N1001"/>
  <sheetViews>
    <sheetView workbookViewId="0">
      <selection activeCell="B1" sqref="B1"/>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 "Old",IF(L2&gt;=31, "Middle Age",IF(L2&lt;31, "Adolescent", "Invalid")))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 "Old",IF(L3&gt;=31, "Middle Age",IF(L3&lt;31, "Adolescent", "Invalid")))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30</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30</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 "Old",IF(L67&gt;=31, "Middle Age",IF(L67&lt;31, "Adolescent", "Invalid")))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30</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30</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30</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 "Old",IF(L131&gt;=31, "Middle Age",IF(L131&lt;31, "Adolescent", "Invalid")))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30</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30</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30</v>
      </c>
      <c r="K195" t="s">
        <v>24</v>
      </c>
      <c r="L195">
        <v>41</v>
      </c>
      <c r="M195" t="str">
        <f t="shared" ref="M195:M258" si="3">IF(L195&gt;54, "Old",IF(L195&gt;=31, "Middle Age",IF(L195&lt;31, "Adolescent", "Invalid")))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30</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30</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 "Old",IF(L259&gt;=31, "Middle Age",IF(L259&lt;31, "Adolescent", "Invalid")))</f>
        <v>Middle Age</v>
      </c>
      <c r="N259" t="s">
        <v>15</v>
      </c>
    </row>
    <row r="260" spans="1:14" x14ac:dyDescent="0.35">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30</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 "Old",IF(L323&gt;=31, "Middle Age",IF(L323&lt;31, "Adolescent", "Invalid")))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30</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30</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30</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30</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 "Old",IF(L387&gt;=31, "Middle Age",IF(L387&lt;31, "Adolescent", "Invalid")))</f>
        <v>Middle Age</v>
      </c>
      <c r="N387" t="s">
        <v>18</v>
      </c>
    </row>
    <row r="388" spans="1:14" x14ac:dyDescent="0.35">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30</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30</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 "Old",IF(L451&gt;=31, "Middle Age",IF(L451&lt;31, "Adolescent", "Invalid")))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30</v>
      </c>
      <c r="K515" t="s">
        <v>32</v>
      </c>
      <c r="L515">
        <v>61</v>
      </c>
      <c r="M515" t="str">
        <f t="shared" ref="M515:M578" si="8">IF(L515&gt;54, "Old",IF(L515&gt;=31, "Middle Age",IF(L515&lt;31, "Adolescent", "Invalid")))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30</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 "Old",IF(L579&gt;=31, "Middle Age",IF(L579&lt;31, "Adolescent", "Invalid")))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30</v>
      </c>
      <c r="K643" t="s">
        <v>32</v>
      </c>
      <c r="L643">
        <v>64</v>
      </c>
      <c r="M643" t="str">
        <f t="shared" ref="M643:M706" si="10">IF(L643&gt;54, "Old",IF(L643&gt;=31, "Middle Age",IF(L643&lt;31, "Adolescent", "Invalid")))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30</v>
      </c>
      <c r="K707" t="s">
        <v>32</v>
      </c>
      <c r="L707">
        <v>59</v>
      </c>
      <c r="M707" t="str">
        <f t="shared" ref="M707:M770" si="11">IF(L707&gt;54, "Old",IF(L707&gt;=31, "Middle Age",IF(L707&lt;31, "Adolescent", "Invalid")))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 "Old",IF(L771&gt;=31, "Middle Age",IF(L771&lt;31, "Adolescent", "Invalid")))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30</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30</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 "Old",IF(L835&gt;=31, "Middle Age",IF(L835&lt;31, "Adolescent", "Invalid")))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30</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 "Old",IF(L899&gt;=31, "Middle Age",IF(L899&lt;31, "Adolescent", "Invalid")))</f>
        <v>Adolescent</v>
      </c>
      <c r="N899" t="s">
        <v>18</v>
      </c>
    </row>
    <row r="900" spans="1:14" x14ac:dyDescent="0.35">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30</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30</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 "Old",IF(L963&gt;=31, "Middle Age",IF(L963&lt;31, "Adolescent", "Invalid")))</f>
        <v>Old</v>
      </c>
      <c r="N963" t="s">
        <v>18</v>
      </c>
    </row>
    <row r="964" spans="1:14" x14ac:dyDescent="0.35">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30</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30</v>
      </c>
      <c r="K1001" t="s">
        <v>32</v>
      </c>
      <c r="L1001">
        <v>53</v>
      </c>
      <c r="M1001" t="str">
        <f t="shared" si="15"/>
        <v>Middle Age</v>
      </c>
      <c r="N1001" t="s">
        <v>15</v>
      </c>
    </row>
  </sheetData>
  <autoFilter ref="A1:N1001" xr:uid="{B9111154-A80B-4590-A65C-14E33C77B9C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A76D-0197-41FD-9EC3-3D56053219BA}">
  <dimension ref="B3:E48"/>
  <sheetViews>
    <sheetView topLeftCell="A38" workbookViewId="0">
      <selection activeCell="O10" sqref="O10"/>
    </sheetView>
  </sheetViews>
  <sheetFormatPr defaultRowHeight="14.5" x14ac:dyDescent="0.35"/>
  <cols>
    <col min="2" max="2" width="21.54296875" bestFit="1" customWidth="1"/>
    <col min="3" max="3" width="15.26953125" bestFit="1" customWidth="1"/>
    <col min="4" max="4" width="3.81640625" bestFit="1" customWidth="1"/>
    <col min="5" max="5" width="10.7265625" bestFit="1" customWidth="1"/>
  </cols>
  <sheetData>
    <row r="3" spans="2:5" x14ac:dyDescent="0.35">
      <c r="B3" s="4" t="s">
        <v>44</v>
      </c>
      <c r="C3" s="4" t="s">
        <v>43</v>
      </c>
    </row>
    <row r="4" spans="2:5" x14ac:dyDescent="0.35">
      <c r="B4" s="4" t="s">
        <v>41</v>
      </c>
      <c r="C4" t="s">
        <v>18</v>
      </c>
      <c r="D4" t="s">
        <v>15</v>
      </c>
      <c r="E4" t="s">
        <v>42</v>
      </c>
    </row>
    <row r="5" spans="2:5" x14ac:dyDescent="0.35">
      <c r="B5" s="5" t="s">
        <v>38</v>
      </c>
      <c r="C5" s="3">
        <v>53440</v>
      </c>
      <c r="D5" s="3">
        <v>55774.058577405856</v>
      </c>
      <c r="E5" s="3">
        <v>54580.777096114522</v>
      </c>
    </row>
    <row r="6" spans="2:5" x14ac:dyDescent="0.35">
      <c r="B6" s="5" t="s">
        <v>39</v>
      </c>
      <c r="C6" s="3">
        <v>56208.178438661707</v>
      </c>
      <c r="D6" s="3">
        <v>60123.966942148763</v>
      </c>
      <c r="E6" s="3">
        <v>58062.62230919765</v>
      </c>
    </row>
    <row r="7" spans="2:5" x14ac:dyDescent="0.35">
      <c r="B7" s="5" t="s">
        <v>42</v>
      </c>
      <c r="C7" s="3">
        <v>54874.759152215796</v>
      </c>
      <c r="D7" s="3">
        <v>57962.577962577961</v>
      </c>
      <c r="E7" s="3">
        <v>56360</v>
      </c>
    </row>
    <row r="19" spans="2:5" x14ac:dyDescent="0.35">
      <c r="B19" s="4" t="s">
        <v>45</v>
      </c>
      <c r="C19" s="4" t="s">
        <v>43</v>
      </c>
    </row>
    <row r="20" spans="2:5" x14ac:dyDescent="0.35">
      <c r="B20" s="4" t="s">
        <v>41</v>
      </c>
      <c r="C20" t="s">
        <v>18</v>
      </c>
      <c r="D20" t="s">
        <v>15</v>
      </c>
      <c r="E20" t="s">
        <v>42</v>
      </c>
    </row>
    <row r="21" spans="2:5" x14ac:dyDescent="0.35">
      <c r="B21" s="5" t="s">
        <v>16</v>
      </c>
      <c r="C21">
        <v>166</v>
      </c>
      <c r="D21">
        <v>200</v>
      </c>
      <c r="E21">
        <v>366</v>
      </c>
    </row>
    <row r="22" spans="2:5" x14ac:dyDescent="0.35">
      <c r="B22" s="5" t="s">
        <v>30</v>
      </c>
      <c r="C22">
        <v>78</v>
      </c>
      <c r="D22">
        <v>33</v>
      </c>
      <c r="E22">
        <v>111</v>
      </c>
    </row>
    <row r="23" spans="2:5" x14ac:dyDescent="0.35">
      <c r="B23" s="5" t="s">
        <v>26</v>
      </c>
      <c r="C23">
        <v>92</v>
      </c>
      <c r="D23">
        <v>77</v>
      </c>
      <c r="E23">
        <v>169</v>
      </c>
    </row>
    <row r="24" spans="2:5" x14ac:dyDescent="0.35">
      <c r="B24" s="5" t="s">
        <v>22</v>
      </c>
      <c r="C24">
        <v>67</v>
      </c>
      <c r="D24">
        <v>95</v>
      </c>
      <c r="E24">
        <v>162</v>
      </c>
    </row>
    <row r="25" spans="2:5" x14ac:dyDescent="0.35">
      <c r="B25" s="5" t="s">
        <v>23</v>
      </c>
      <c r="C25">
        <v>116</v>
      </c>
      <c r="D25">
        <v>76</v>
      </c>
      <c r="E25">
        <v>192</v>
      </c>
    </row>
    <row r="26" spans="2:5" x14ac:dyDescent="0.35">
      <c r="B26" s="5" t="s">
        <v>42</v>
      </c>
      <c r="C26">
        <v>519</v>
      </c>
      <c r="D26">
        <v>481</v>
      </c>
      <c r="E26">
        <v>1000</v>
      </c>
    </row>
    <row r="43" spans="2:5" x14ac:dyDescent="0.35">
      <c r="B43" s="4" t="s">
        <v>45</v>
      </c>
      <c r="C43" s="4" t="s">
        <v>43</v>
      </c>
    </row>
    <row r="44" spans="2:5" x14ac:dyDescent="0.35">
      <c r="B44" s="4" t="s">
        <v>41</v>
      </c>
      <c r="C44" t="s">
        <v>18</v>
      </c>
      <c r="D44" t="s">
        <v>15</v>
      </c>
      <c r="E44" t="s">
        <v>42</v>
      </c>
    </row>
    <row r="45" spans="2:5" x14ac:dyDescent="0.35">
      <c r="B45" s="5" t="s">
        <v>46</v>
      </c>
      <c r="C45">
        <v>71</v>
      </c>
      <c r="D45">
        <v>39</v>
      </c>
      <c r="E45">
        <v>110</v>
      </c>
    </row>
    <row r="46" spans="2:5" x14ac:dyDescent="0.35">
      <c r="B46" s="5" t="s">
        <v>47</v>
      </c>
      <c r="C46">
        <v>318</v>
      </c>
      <c r="D46">
        <v>383</v>
      </c>
      <c r="E46">
        <v>701</v>
      </c>
    </row>
    <row r="47" spans="2:5" x14ac:dyDescent="0.35">
      <c r="B47" s="5" t="s">
        <v>48</v>
      </c>
      <c r="C47">
        <v>130</v>
      </c>
      <c r="D47">
        <v>59</v>
      </c>
      <c r="E47">
        <v>189</v>
      </c>
    </row>
    <row r="48" spans="2:5" x14ac:dyDescent="0.35">
      <c r="B48" s="5" t="s">
        <v>42</v>
      </c>
      <c r="C48">
        <v>519</v>
      </c>
      <c r="D48">
        <v>481</v>
      </c>
      <c r="E4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BAFB1-1131-4BC2-A3BF-57CAA41FD43D}">
  <dimension ref="A1:P4"/>
  <sheetViews>
    <sheetView showGridLines="0" tabSelected="1" workbookViewId="0">
      <selection activeCell="Q8" sqref="Q8"/>
    </sheetView>
  </sheetViews>
  <sheetFormatPr defaultRowHeight="14.5" x14ac:dyDescent="0.35"/>
  <cols>
    <col min="15" max="15" width="3.36328125" customWidth="1"/>
    <col min="16" max="16" width="8.7265625" hidden="1" customWidth="1"/>
  </cols>
  <sheetData>
    <row r="1" spans="1:16" ht="14.5" customHeight="1" x14ac:dyDescent="0.35">
      <c r="A1" s="6" t="s">
        <v>49</v>
      </c>
      <c r="B1" s="6"/>
      <c r="C1" s="6"/>
      <c r="D1" s="6"/>
      <c r="E1" s="6"/>
      <c r="F1" s="6"/>
      <c r="G1" s="6"/>
      <c r="H1" s="6"/>
      <c r="I1" s="6"/>
      <c r="J1" s="6"/>
      <c r="K1" s="6"/>
      <c r="L1" s="6"/>
      <c r="M1" s="6"/>
      <c r="N1" s="6"/>
      <c r="O1" s="6"/>
      <c r="P1" s="6"/>
    </row>
    <row r="2" spans="1:16" x14ac:dyDescent="0.35">
      <c r="A2" s="6"/>
      <c r="B2" s="6"/>
      <c r="C2" s="6"/>
      <c r="D2" s="6"/>
      <c r="E2" s="6"/>
      <c r="F2" s="6"/>
      <c r="G2" s="6"/>
      <c r="H2" s="6"/>
      <c r="I2" s="6"/>
      <c r="J2" s="6"/>
      <c r="K2" s="6"/>
      <c r="L2" s="6"/>
      <c r="M2" s="6"/>
      <c r="N2" s="6"/>
      <c r="O2" s="6"/>
      <c r="P2" s="6"/>
    </row>
    <row r="3" spans="1:16" x14ac:dyDescent="0.35">
      <c r="A3" s="6"/>
      <c r="B3" s="6"/>
      <c r="C3" s="6"/>
      <c r="D3" s="6"/>
      <c r="E3" s="6"/>
      <c r="F3" s="6"/>
      <c r="G3" s="6"/>
      <c r="H3" s="6"/>
      <c r="I3" s="6"/>
      <c r="J3" s="6"/>
      <c r="K3" s="6"/>
      <c r="L3" s="6"/>
      <c r="M3" s="6"/>
      <c r="N3" s="6"/>
      <c r="O3" s="6"/>
      <c r="P3" s="6"/>
    </row>
    <row r="4" spans="1:16" x14ac:dyDescent="0.35">
      <c r="A4" s="6"/>
      <c r="B4" s="6"/>
      <c r="C4" s="6"/>
      <c r="D4" s="6"/>
      <c r="E4" s="6"/>
      <c r="F4" s="6"/>
      <c r="G4" s="6"/>
      <c r="H4" s="6"/>
      <c r="I4" s="6"/>
      <c r="J4" s="6"/>
      <c r="K4" s="6"/>
      <c r="L4" s="6"/>
      <c r="M4" s="6"/>
      <c r="N4" s="6"/>
      <c r="O4" s="6"/>
      <c r="P4" s="6"/>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Wambui</dc:creator>
  <cp:lastModifiedBy>Grace Wambui</cp:lastModifiedBy>
  <dcterms:created xsi:type="dcterms:W3CDTF">2022-03-18T02:50:57Z</dcterms:created>
  <dcterms:modified xsi:type="dcterms:W3CDTF">2026-04-13T17:26:48Z</dcterms:modified>
</cp:coreProperties>
</file>